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fae\Documents\"/>
    </mc:Choice>
  </mc:AlternateContent>
  <xr:revisionPtr revIDLastSave="0" documentId="8_{9BA1B5D4-4617-47D9-8CCD-6B6AC57AEA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lected BOM &amp; Stock" sheetId="1" r:id="rId1"/>
    <sheet name="Trade Study &amp; Rationale" sheetId="2" r:id="rId2"/>
    <sheet name="Interface &amp; Architectur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1" l="1"/>
  <c r="J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<sst xmlns="http://schemas.openxmlformats.org/spreadsheetml/2006/main" count="345" uniqueCount="265">
  <si>
    <t>CubeSat 3-Axis Magnetorquer Board — Selected Bill of Materials &amp; Live Availability</t>
  </si>
  <si>
    <t>Distributor Stock Verified via DigiKey &amp; Mouser MCPs | Target: 1S/2S EPS Bus (~3.3V-8.4V) | 100% Leaded Hand-Solderable Packages</t>
  </si>
  <si>
    <t>Item</t>
  </si>
  <si>
    <t>Subsystem</t>
  </si>
  <si>
    <t>Ref Des</t>
  </si>
  <si>
    <t>Description</t>
  </si>
  <si>
    <t>Manufacturer Part Number (MPN)</t>
  </si>
  <si>
    <t>Manufacturer</t>
  </si>
  <si>
    <t>Package</t>
  </si>
  <si>
    <t>Pitch</t>
  </si>
  <si>
    <t>Hand Solder?</t>
  </si>
  <si>
    <t>Qty</t>
  </si>
  <si>
    <t>Unit Cost (USD)</t>
  </si>
  <si>
    <t>Ext Cost (USD)</t>
  </si>
  <si>
    <t>DigiKey Stock</t>
  </si>
  <si>
    <t>Mouser Stock</t>
  </si>
  <si>
    <t>Overall Availability</t>
  </si>
  <si>
    <t>DigiKey / Mouser Part No.</t>
  </si>
  <si>
    <t>Notes &amp; Sourcing Guidance</t>
  </si>
  <si>
    <t>Current Limiter</t>
  </si>
  <si>
    <t>U1, U2</t>
  </si>
  <si>
    <t>100V Protection Controller &amp; Bidirectional Circuit Breaker</t>
  </si>
  <si>
    <t>LTC4368CMS-1#PBF</t>
  </si>
  <si>
    <t>Analog Devices</t>
  </si>
  <si>
    <t>10-MSOP</t>
  </si>
  <si>
    <t>0.50 mm</t>
  </si>
  <si>
    <t>Yes</t>
  </si>
  <si>
    <t>On Order (Alt: CMS-2 979)</t>
  </si>
  <si>
    <t>279 In Stock</t>
  </si>
  <si>
    <t>In Stock (Mouser)</t>
  </si>
  <si>
    <t>DK: 505-LTC4368CMS-1#PBF-ND | Mouser: 584-LTC4368CMS1PBF</t>
  </si>
  <si>
    <t>279 in stock at Mouser. DigiKey has pin-compatible CMS-2#PBF (979 in stock; -3mV reverse threshold). Handles 2.5V-60V Vin, 100V surge.</t>
  </si>
  <si>
    <t>Voltage Sense</t>
  </si>
  <si>
    <t>U3</t>
  </si>
  <si>
    <t>16-Bit I2C Bus Voltage &amp; Current Monitor with Hardware Alert</t>
  </si>
  <si>
    <t>INA226AIDGSR</t>
  </si>
  <si>
    <t>Texas Instruments</t>
  </si>
  <si>
    <t>10-VSSOP</t>
  </si>
  <si>
    <t>66,440 In Stock</t>
  </si>
  <si>
    <t>8,212 In Stock (GST)</t>
  </si>
  <si>
    <t>Abundant (Both)</t>
  </si>
  <si>
    <t>DK: 296-29034-2-ND | Mouser: 595-INA226AIDGST</t>
  </si>
  <si>
    <t>Massive stock at both distributors. 0-36V direct bus monitoring without voltage dividers; programmable ALERT pin.</t>
  </si>
  <si>
    <t>DC-DC Buck-Boost</t>
  </si>
  <si>
    <t>U4</t>
  </si>
  <si>
    <t>2.7V-40V Synchronous Buck-Boost DC/DC Converter</t>
  </si>
  <si>
    <t>LTC3115EFE-1#PBF</t>
  </si>
  <si>
    <t>16-TSSOP-EP</t>
  </si>
  <si>
    <t>0.65 mm</t>
  </si>
  <si>
    <t>1,036 In Stock</t>
  </si>
  <si>
    <t>7,811 In Stock</t>
  </si>
  <si>
    <t>DK: 505-LTC3115EFE-1#PBF-ND | Mouser: 584-LTC3115EFE-1#PBF</t>
  </si>
  <si>
    <t>Strong stock across both distributors. 2.7V-40V Vin covers 1S and 2S (8.4V) battery bus; Aerospace Corp radiation flight heritage.</t>
  </si>
  <si>
    <t>Power Inductor</t>
  </si>
  <si>
    <t>L1</t>
  </si>
  <si>
    <t>Shielded SMT Power Inductor (10 µH)</t>
  </si>
  <si>
    <t>74438323100</t>
  </si>
  <si>
    <t>Würth Elektronik</t>
  </si>
  <si>
    <t>SMD 2520</t>
  </si>
  <si>
    <t>Surface Mount</t>
  </si>
  <si>
    <t>11,467 In Stock</t>
  </si>
  <si>
    <t>23,226 In Stock</t>
  </si>
  <si>
    <t>DK: 732-4851-2-ND | Mouser: 710-74438323100</t>
  </si>
  <si>
    <t>Massive stock at both distributors. 10 µH, shielded WE-MAPI construction to minimize magnetic EMI near ADCS sensors.</t>
  </si>
  <si>
    <t>Microcontroller (MCU)</t>
  </si>
  <si>
    <t>U5</t>
  </si>
  <si>
    <t>32-bit ARM Cortex-M4F MCU with SRAM ECC &amp; Dual CAN-FD</t>
  </si>
  <si>
    <t>ATSAME51J20A-AF</t>
  </si>
  <si>
    <t>Microchip Technology</t>
  </si>
  <si>
    <t>TQFP-64</t>
  </si>
  <si>
    <t>45 In Stock</t>
  </si>
  <si>
    <t>3,693 In Stock</t>
  </si>
  <si>
    <t>In Stock (Both)</t>
  </si>
  <si>
    <t>DK: ATSAME51J20A-AF-ND | Mouser: 556-ATSAME51J20A-AF</t>
  </si>
  <si>
    <t>3,693 available at Mouser, 45 at DigiKey. On-chip hardware SRAM ECC corrects radiation SEU bit flips; native dual CAN-FD.</t>
  </si>
  <si>
    <t>External Watchdog</t>
  </si>
  <si>
    <t>U6</t>
  </si>
  <si>
    <t>Pin-Selectable Watchdog Timer with 54s Startup Grace Period</t>
  </si>
  <si>
    <t>MAX6373KA+T</t>
  </si>
  <si>
    <t>Analog Devices / Maxim</t>
  </si>
  <si>
    <t>SOT-23-8</t>
  </si>
  <si>
    <t>9,542 In Stock</t>
  </si>
  <si>
    <t>4,708 In Stock</t>
  </si>
  <si>
    <t>DK: MAX6373KA+TTR-ND | Mouser: 700-MAX6373KAT</t>
  </si>
  <si>
    <t>Abundant stock at both distributors. 54-second boot grace period prevents boot-looping during RTOS/sensor calibration.</t>
  </si>
  <si>
    <t>H-Bridge Drivers</t>
  </si>
  <si>
    <t>U7, U8</t>
  </si>
  <si>
    <t>Dual Full H-Bridge Motor/Actuator Driver with Fault Flag</t>
  </si>
  <si>
    <t>DRV8833PWPR</t>
  </si>
  <si>
    <t>HTSSOP-16</t>
  </si>
  <si>
    <t>342 In Stock</t>
  </si>
  <si>
    <t>642 In Stock</t>
  </si>
  <si>
    <t>DK: 296-29434-2-ND | Mouser: 595-DRV8833PWPR</t>
  </si>
  <si>
    <t>In stock at both distributors. 2 ICs provide 4 full bridges (3 for X, Y, Z coils + 1 spare for deployer burn wire).</t>
  </si>
  <si>
    <t>Current Sense (Coils)</t>
  </si>
  <si>
    <t>U9, U10, U11</t>
  </si>
  <si>
    <t>16-Bit Digital I2C Current &amp; Bus Monitor (1 per Axis)</t>
  </si>
  <si>
    <t>Abundant stock at both distributors. 16-bit digital resolution; 16 pin-selectable addresses allow all 3 to share 1 I2C bus.</t>
  </si>
  <si>
    <t>I2C Multiplexer</t>
  </si>
  <si>
    <t>U12</t>
  </si>
  <si>
    <t>4-Channel I2C Bus Switch with Hardware Reset</t>
  </si>
  <si>
    <t>TCA9546APWR</t>
  </si>
  <si>
    <t>16-TSSOP</t>
  </si>
  <si>
    <t>In Stock (Alt Mfr)</t>
  </si>
  <si>
    <t>216 In Stock</t>
  </si>
  <si>
    <t>DK: 296-40578-2-ND | Mouser: 595-TCA9546APWR</t>
  </si>
  <si>
    <t>In stock at Mouser (216 pcs). Separates external coil temperature sensors from onboard avionics; active-low hardware reset.</t>
  </si>
  <si>
    <t>Inertial Unit (IMU)</t>
  </si>
  <si>
    <t>U13</t>
  </si>
  <si>
    <t>5-DOF Combined 2-Axis Gyro (XZ) &amp; 3-Axis Accel (Murata)</t>
  </si>
  <si>
    <t>SCC433T-K03-10</t>
  </si>
  <si>
    <t>Murata Electronics</t>
  </si>
  <si>
    <t>16-SOIC-W</t>
  </si>
  <si>
    <t>1.27 mm</t>
  </si>
  <si>
    <t>1,293 In Stock</t>
  </si>
  <si>
    <t>1,080 In Stock</t>
  </si>
  <si>
    <t>In Stock (LTB / EOL)</t>
  </si>
  <si>
    <t>DK: 490-SCC433T-K03-10TR-ND | Mouser: 81-SCC433T-K03-10</t>
  </si>
  <si>
    <t>Over 2,300 pcs in stock across both distributors, but marked 'Last Time Buy' / EOL. Buy sufficient stock now for project run.</t>
  </si>
  <si>
    <t>Magnetometer</t>
  </si>
  <si>
    <t>U14</t>
  </si>
  <si>
    <t>Triaxis 3D Magnetometer with Dual-Die Redundancy</t>
  </si>
  <si>
    <t>MLX90395KGO-BBA-001-SP</t>
  </si>
  <si>
    <t>Melexis</t>
  </si>
  <si>
    <t>TSSOP-16</t>
  </si>
  <si>
    <t>64 In Stock (TSSOP)</t>
  </si>
  <si>
    <t>2,408 In Stock (SOIC)</t>
  </si>
  <si>
    <t>DK: 413-MLX90395KGO-BBA-001-SP-ND | Mouser: 482-90395KDCBBA101RE</t>
  </si>
  <si>
    <t>DigiKey has TSSOP-16 dual-die sample packs (64 pcs). Mouser &amp; DigiKey also have SOIC-8 single-die variant in high volume (&gt;16,000 pcs).</t>
  </si>
  <si>
    <t>Temperature Sensors</t>
  </si>
  <si>
    <t>U15, U16, U17</t>
  </si>
  <si>
    <t>±0.5°C Precision Digital Temperature Sensor with Alert</t>
  </si>
  <si>
    <t>MCP9808T-E/MS</t>
  </si>
  <si>
    <t>8-MSOP</t>
  </si>
  <si>
    <t>21,327 In Stock</t>
  </si>
  <si>
    <t>23,694 In Stock</t>
  </si>
  <si>
    <t>DK: MCP9808T-E/MSTR-ND | Mouser: 579-MCP9808T-E/MS</t>
  </si>
  <si>
    <t>Tens of thousands in stock across both. High accuracy for copper resistance tempco compensation; hardware ALERT pin.</t>
  </si>
  <si>
    <t>CAN Transceiver</t>
  </si>
  <si>
    <t>U18</t>
  </si>
  <si>
    <t>3.3V CAN-FD Transceiver with &lt;1µA Shutdown Mode</t>
  </si>
  <si>
    <t>TCAN334GD</t>
  </si>
  <si>
    <t>SOIC-8</t>
  </si>
  <si>
    <t>680 In Stock (GDR)</t>
  </si>
  <si>
    <t>22,449 In Stock</t>
  </si>
  <si>
    <t>DK: 296-49940-2-ND | Mouser: 595-TCAN334GD</t>
  </si>
  <si>
    <t>Over 23,000 pcs in stock across both distributors. Pure 3.3V single supply (no 5V rail required); supports 5 Mbps CAN-FD.</t>
  </si>
  <si>
    <t>TOTAL ESTIMATED ACTIVE IC &amp; INDUCTOR BOM COST:</t>
  </si>
  <si>
    <t>Availability &amp; Sourcing Observations (October 2026):</t>
  </si>
  <si>
    <t>1. ALL 13 components currently have verified inventory in stock at either DigiKey or Mouser (or both).</t>
  </si>
  <si>
    <t>2. High Availability: INA226, LTC3115-1, MAX6373, MCP9808, TCAN334, and 74438323100 have massive multi-thousand unit stock at both vendors.</t>
  </si>
  <si>
    <t>3. Sourcing Alert on IMU (SCC433T-K03-10): Over 2,300 total units are available (1,293 at DigiKey, 1,080 at Mouser), but the device is designated 'Last Time Buy' / EOL. Order required quantities early for your build.</t>
  </si>
  <si>
    <t>4. Sourcing Alert on Magnetometer (MLX90395): The dual-die TSSOP-16 package (MLX90395KGO-BBA-001-SP) is in stock at DigiKey (64 pcs). The single-die SOIC-8 variant (MLX90395KDC-BBA-101-RE) has over 16,000 units in stock across DigiKey and Mouser.</t>
  </si>
  <si>
    <t>5. Current Limiter (LTC4368CMS-1#PBF): 279 in stock at Mouser. DigiKey stocks the identical CMS-2#PBF variant (979 units; diode-like -3mV reverse shutoff).</t>
  </si>
  <si>
    <t>6. Pricing is based on DigiKey/Mouser 1-piece cut-tape/tube unit pricing in USD as of live query.</t>
  </si>
  <si>
    <t>CubeSat Magnetorquer Board — Subsystem Trade Study &amp; Component Comparison</t>
  </si>
  <si>
    <t>Shortlisted Option A</t>
  </si>
  <si>
    <t>Shortlisted Option B</t>
  </si>
  <si>
    <t>Selected Winner</t>
  </si>
  <si>
    <t>Package Comparison</t>
  </si>
  <si>
    <t>Key Trade-Off &amp; Engineering Deciding Factor</t>
  </si>
  <si>
    <t>Risk / Mitigation</t>
  </si>
  <si>
    <t>Current Limiter / eFuse</t>
  </si>
  <si>
    <t>TPS16530PWPR</t>
  </si>
  <si>
    <t>10-MSOP (0.5mm) vs HTSSOP-20 (0.65mm)</t>
  </si>
  <si>
    <t>TPS16530 cuts off below 4.5V (cannot support 3.3V or 1S Li-ion). LTC4368 operates down to 2.5V and withstands 100V transients from coil switching with zero-heat external FET.</t>
  </si>
  <si>
    <t>External FET required; select low RDS(on) N-FET (e.g. SiR870DP).</t>
  </si>
  <si>
    <t>EPS Voltage Sense</t>
  </si>
  <si>
    <t>LTC2990CMS#PBF</t>
  </si>
  <si>
    <t>10-VSSOP (0.5mm) vs 10-MSOP (0.5mm)</t>
  </si>
  <si>
    <t>INA226 senses 0-36V directly without dividers; 16-bit Sigma-Delta ADC; hardware ALERT pin trips on bus sag; extensive flight heritage.</t>
  </si>
  <si>
    <t>Address pins must be strapped to GND/VS/SDA/SCL to set unique address.</t>
  </si>
  <si>
    <t>TPS631000DRLR</t>
  </si>
  <si>
    <t>16-TSSOP (0.65mm) vs SOT-583 (0.5mm)</t>
  </si>
  <si>
    <t>TPS631000 max Vin is strictly 5.5V (catastrophic failure on 2S 8.4V bus!). LTC3115 handles 2.7V to 40V, provides up to 2A, and has Aerospace Corp heavy-ion test data.</t>
  </si>
  <si>
    <t>Requires shielded power inductor; use WE-MAPI 2520/3020 for low EMI.</t>
  </si>
  <si>
    <t>STM32L476RGT6</t>
  </si>
  <si>
    <t>TQFP-64 (0.5mm) vs LQFP-64 (0.5mm)</t>
  </si>
  <si>
    <t>ATSAME51 features on-chip SECDED Hardware ECC on SRAM (essential for LEO cosmic ray SEU mitigation) and dual native CAN-FD controllers vs CAN 2.0B on STM32L4.</t>
  </si>
  <si>
    <t>Slightly higher active current than STM32L4; manage clock gating.</t>
  </si>
  <si>
    <t>TPS3823-33DBVR</t>
  </si>
  <si>
    <t>SOT-23-8 (0.65mm) vs SOT-23-5 (0.95mm)</t>
  </si>
  <si>
    <t>TPS3823 has a rigid 1.6s timeout that causes boot-loops during RTOS/sensor init. MAX6373 provides a 54-second boot grace period and pin-strapped timeouts (no timing caps).</t>
  </si>
  <si>
    <t>Tie SET0-SET2 pins directly to VDD/GND for desired timeout window.</t>
  </si>
  <si>
    <t>INA226AIDGSR (Digital)</t>
  </si>
  <si>
    <t>INA240A1PWR (Analog)</t>
  </si>
  <si>
    <t>10-VSSOP (0.5mm) vs 8-TSSOP (0.65mm)</t>
  </si>
  <si>
    <t>INA226 provides 16-bit digital current readings directly in mA via I2C, freeing MCU ADC pins. 16 unique I2C addresses allow all 3 to sit on one bus without a multiplexer.</t>
  </si>
  <si>
    <t>If cycle-by-cycle PWM current control is required, INA240 analog amp is preferred.</t>
  </si>
  <si>
    <t>Temperature Sensor</t>
  </si>
  <si>
    <t>TMP1075DGKR</t>
  </si>
  <si>
    <t>8-MSOP (0.65mm) vs 8-VSSOP (0.5mm)</t>
  </si>
  <si>
    <t>0.65 mm pitch is significantly easier to hand-solder. High ±0.5°C accuracy for copper tempco compensation (+0.393%/°C). Hardware ALERT pin enables autonomous driver shutdown.</t>
  </si>
  <si>
    <t>Place thermal vias directly beneath sensor to coil return trace.</t>
  </si>
  <si>
    <t>MCP2562FD-E/SN</t>
  </si>
  <si>
    <t>SOIC-8 (1.27mm) vs SOIC-8 (1.27mm)</t>
  </si>
  <si>
    <t>MCP2562 requires an extra 5.0V supply rail. TCAN334GD operates natively from single 3.3V rail, supports 5 Mbps CAN-FD, and has &lt;1 µA shutdown for orbital eclipse.</t>
  </si>
  <si>
    <t>Ensure 120-ohm differential bus termination resistor on board if at bus end.</t>
  </si>
  <si>
    <t>CubeSat Magnetorquer Board — Bus Topology &amp; Power Domain Mapping</t>
  </si>
  <si>
    <t>Subsystem / Component</t>
  </si>
  <si>
    <t>Power Rail</t>
  </si>
  <si>
    <t>Voltage Level</t>
  </si>
  <si>
    <t>Communication Bus</t>
  </si>
  <si>
    <t>Controller Pin / Peripheral</t>
  </si>
  <si>
    <t>Fault Protection / FDIR Behavior</t>
  </si>
  <si>
    <t>Main Power Entry (LTC4368 #1)</t>
  </si>
  <si>
    <t>Raw EPS Bus</t>
  </si>
  <si>
    <t>3.3V to 8.4V</t>
  </si>
  <si>
    <t>Discrete Hardware</t>
  </si>
  <si>
    <t>GATE / FAULT pin</t>
  </si>
  <si>
    <t>Isolates entire board on short circuit or overvoltage surge</t>
  </si>
  <si>
    <t>H-Bridge Drive Entry (LTC4368 #2)</t>
  </si>
  <si>
    <t>Actuator Rail</t>
  </si>
  <si>
    <t>Independent GATE / SHDN</t>
  </si>
  <si>
    <t>Isolates coil drivers if an H-bridge FET fails shorted</t>
  </si>
  <si>
    <t>Voltage Monitor (INA226 #1)</t>
  </si>
  <si>
    <t>Logic 3.3V Rail</t>
  </si>
  <si>
    <t>3.3V (VCC), 0-36V (Vin)</t>
  </si>
  <si>
    <t>Primary I2C Bus</t>
  </si>
  <si>
    <t>MCU SERCOM I2C (Addr: 0x40)</t>
  </si>
  <si>
    <t>ALERT pin pulls low on bus undervoltage / battery sag</t>
  </si>
  <si>
    <t>Buck-Boost Converter (LTC3115-1)</t>
  </si>
  <si>
    <t>EPS Bus -&gt; Logic</t>
  </si>
  <si>
    <t>Input: 3.3V-8.4V -&gt; Out: 3.3V</t>
  </si>
  <si>
    <t>Power Good (PGOOD) -&gt; MCU Reset</t>
  </si>
  <si>
    <t>Holds MCU in reset until 3.3V logic rail stabilizes</t>
  </si>
  <si>
    <t>Microcontroller (ATSAME51J20A)</t>
  </si>
  <si>
    <t>Regulated 3.3V</t>
  </si>
  <si>
    <t>3.3V Core &amp; I/O</t>
  </si>
  <si>
    <t>Internal Bus Master</t>
  </si>
  <si>
    <t>Central Processor</t>
  </si>
  <si>
    <t>Hardware SRAM ECC auto-corrects radiation bit flips</t>
  </si>
  <si>
    <t>Watchdog Timer (MAX6373)</t>
  </si>
  <si>
    <t>3.3V</t>
  </si>
  <si>
    <t>Heartbeat Pulse</t>
  </si>
  <si>
    <t>MCU GPIO WDI -&gt; MCU RESET pin</t>
  </si>
  <si>
    <t>Asserts hard reset if MCU heartbeat stops for &gt;1.0s (54s boot grace)</t>
  </si>
  <si>
    <t>H-Bridges (2x DRV8833)</t>
  </si>
  <si>
    <t>3.3V to 8.4V (Vm), 3.3V Logic</t>
  </si>
  <si>
    <t>PWM &amp; Direction Pins</t>
  </si>
  <si>
    <t>MCU TCC0 / TCC1 Timers</t>
  </si>
  <si>
    <t>Hardware dead-time prevents shoot-through; nFAULT line alerts MCU</t>
  </si>
  <si>
    <t>Coil Current Monitors (3x INA226)</t>
  </si>
  <si>
    <t>3.3V (VCC), 0-11V (Vbus)</t>
  </si>
  <si>
    <t>MCU SERCOM I2C (Addrs: 0x41, 0x44, 0x45)</t>
  </si>
  <si>
    <t>Monitors current on X, Y, Z axes; triggers MCU interrupt on overcurrent</t>
  </si>
  <si>
    <t>I2C Multiplexer (TCA9546A)</t>
  </si>
  <si>
    <t>MCU SERCOM I2C (Addr: 0x70) + RESET GPIO</t>
  </si>
  <si>
    <t>Hardware RESET line un-hangs bus if external thermal sensor shorts</t>
  </si>
  <si>
    <t>Coil Temp Sensors (3x MCP9808)</t>
  </si>
  <si>
    <t>Muxed I2C Channels</t>
  </si>
  <si>
    <t>TCA9546A Ch 0, 1, 2 (Addrs: 0x18)</t>
  </si>
  <si>
    <t>Hardware ALERT pin connected to DRV8833 nSLEEP to auto-disable coil on overheat</t>
  </si>
  <si>
    <t>IMU (Murata SCC433T)</t>
  </si>
  <si>
    <t>SPI Bus</t>
  </si>
  <si>
    <t>MCU SERCOM SPI (Chip Select: CS_IMU)</t>
  </si>
  <si>
    <t>Internal self-diagnostics; high shock and vibration tolerance</t>
  </si>
  <si>
    <t>Dual Magnetometer (MLX90395)</t>
  </si>
  <si>
    <t>MCU SERCOM SPI (Chip Select: CS_MAG1, CS_MAG2)</t>
  </si>
  <si>
    <t>Dual isolated dies in 1 package; Die 1 is primary, Die 2 is backup</t>
  </si>
  <si>
    <t>CAN Transceiver (TCAN334GD)</t>
  </si>
  <si>
    <t>3.3V Single Rail</t>
  </si>
  <si>
    <t>CAN-FD Differential</t>
  </si>
  <si>
    <t>MCU CAN0 peripheral (TX/RX) + SHDN GPIO</t>
  </si>
  <si>
    <t>TXD Dominant Timeout prevents a hung MCU from locking the satellite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</si>
</sst>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i/>
      <sz val="11"/>
      <color rgb="FF595959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  <font>
      <b/>
      <sz val="11"/>
      <color rgb="FF1F497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2F5F8"/>
        <bgColor rgb="FFF2F5F8"/>
      </patternFill>
    </fill>
    <fill>
      <patternFill patternType="solid">
        <fgColor rgb="FFFFF2CC"/>
        <bgColor rgb="FFFFF2CC"/>
      </patternFill>
    </fill>
    <fill>
      <patternFill patternType="solid">
        <fgColor rgb="FF244061"/>
        <bgColor rgb="FF24406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/>
    <xf numFmtId="164" fontId="6" fillId="0" borderId="2" xfId="0" applyNumberFormat="1" applyFont="1" applyBorder="1" applyAlignment="1">
      <alignment horizontal="right" vertical="center"/>
    </xf>
    <xf numFmtId="0" fontId="5" fillId="0" borderId="0" xfId="0" applyFont="1"/>
    <xf numFmtId="0" fontId="2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6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workbookViewId="0">
      <selection sqref="A1:Q1"/>
    </sheetView>
  </sheetViews>
  <sheetFormatPr defaultRowHeight="14.4" x14ac:dyDescent="0.3"/>
  <cols>
    <col min="1" max="1" width="6" customWidth="1"/>
    <col min="2" max="2" width="20" customWidth="1"/>
    <col min="3" max="3" width="13" customWidth="1"/>
    <col min="4" max="4" width="34" customWidth="1"/>
    <col min="5" max="5" width="25" customWidth="1"/>
    <col min="6" max="6" width="22" customWidth="1"/>
    <col min="7" max="7" width="14" customWidth="1"/>
    <col min="8" max="8" width="12" customWidth="1"/>
    <col min="9" max="9" width="13" customWidth="1"/>
    <col min="10" max="10" width="8" customWidth="1"/>
    <col min="11" max="12" width="15" customWidth="1"/>
    <col min="13" max="13" width="20" customWidth="1"/>
    <col min="14" max="15" width="22" customWidth="1"/>
    <col min="16" max="16" width="42" customWidth="1"/>
    <col min="17" max="17" width="48" customWidth="1"/>
  </cols>
  <sheetData>
    <row r="1" spans="1:17" ht="21" x14ac:dyDescent="0.3">
      <c r="A1" s="22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1:17" ht="28.0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25.95" customHeight="1" x14ac:dyDescent="0.3">
      <c r="A5" s="2">
        <v>1</v>
      </c>
      <c r="B5" s="3" t="s">
        <v>19</v>
      </c>
      <c r="C5" s="2" t="s">
        <v>20</v>
      </c>
      <c r="D5" s="3" t="s">
        <v>21</v>
      </c>
      <c r="E5" s="3" t="s">
        <v>22</v>
      </c>
      <c r="F5" s="3" t="s">
        <v>23</v>
      </c>
      <c r="G5" s="2" t="s">
        <v>24</v>
      </c>
      <c r="H5" s="2" t="s">
        <v>25</v>
      </c>
      <c r="I5" s="2" t="s">
        <v>26</v>
      </c>
      <c r="J5" s="2">
        <v>2</v>
      </c>
      <c r="K5" s="4">
        <v>7.4</v>
      </c>
      <c r="L5" s="5">
        <f t="shared" ref="L5:L17" si="0">J5*K5</f>
        <v>14.8</v>
      </c>
      <c r="M5" s="2" t="s">
        <v>27</v>
      </c>
      <c r="N5" s="6" t="s">
        <v>28</v>
      </c>
      <c r="O5" s="6" t="s">
        <v>29</v>
      </c>
      <c r="P5" s="3" t="s">
        <v>30</v>
      </c>
      <c r="Q5" s="3" t="s">
        <v>31</v>
      </c>
    </row>
    <row r="6" spans="1:17" ht="25.95" customHeight="1" x14ac:dyDescent="0.3">
      <c r="A6" s="7">
        <v>2</v>
      </c>
      <c r="B6" s="8" t="s">
        <v>32</v>
      </c>
      <c r="C6" s="7" t="s">
        <v>33</v>
      </c>
      <c r="D6" s="8" t="s">
        <v>34</v>
      </c>
      <c r="E6" s="8" t="s">
        <v>35</v>
      </c>
      <c r="F6" s="8" t="s">
        <v>36</v>
      </c>
      <c r="G6" s="7" t="s">
        <v>37</v>
      </c>
      <c r="H6" s="7" t="s">
        <v>25</v>
      </c>
      <c r="I6" s="7" t="s">
        <v>26</v>
      </c>
      <c r="J6" s="7">
        <v>1</v>
      </c>
      <c r="K6" s="9">
        <v>3.19</v>
      </c>
      <c r="L6" s="10">
        <f t="shared" si="0"/>
        <v>3.19</v>
      </c>
      <c r="M6" s="6" t="s">
        <v>38</v>
      </c>
      <c r="N6" s="6" t="s">
        <v>39</v>
      </c>
      <c r="O6" s="6" t="s">
        <v>40</v>
      </c>
      <c r="P6" s="8" t="s">
        <v>41</v>
      </c>
      <c r="Q6" s="8" t="s">
        <v>42</v>
      </c>
    </row>
    <row r="7" spans="1:17" ht="25.95" customHeight="1" x14ac:dyDescent="0.3">
      <c r="A7" s="2">
        <v>3</v>
      </c>
      <c r="B7" s="3" t="s">
        <v>43</v>
      </c>
      <c r="C7" s="2" t="s">
        <v>44</v>
      </c>
      <c r="D7" s="3" t="s">
        <v>45</v>
      </c>
      <c r="E7" s="3" t="s">
        <v>46</v>
      </c>
      <c r="F7" s="3" t="s">
        <v>23</v>
      </c>
      <c r="G7" s="2" t="s">
        <v>47</v>
      </c>
      <c r="H7" s="2" t="s">
        <v>48</v>
      </c>
      <c r="I7" s="2" t="s">
        <v>26</v>
      </c>
      <c r="J7" s="2">
        <v>1</v>
      </c>
      <c r="K7" s="4">
        <v>18.41</v>
      </c>
      <c r="L7" s="5">
        <f t="shared" si="0"/>
        <v>18.41</v>
      </c>
      <c r="M7" s="6" t="s">
        <v>49</v>
      </c>
      <c r="N7" s="6" t="s">
        <v>50</v>
      </c>
      <c r="O7" s="6" t="s">
        <v>40</v>
      </c>
      <c r="P7" s="3" t="s">
        <v>51</v>
      </c>
      <c r="Q7" s="3" t="s">
        <v>52</v>
      </c>
    </row>
    <row r="8" spans="1:17" ht="25.95" customHeight="1" x14ac:dyDescent="0.3">
      <c r="A8" s="7">
        <v>4</v>
      </c>
      <c r="B8" s="8" t="s">
        <v>53</v>
      </c>
      <c r="C8" s="7" t="s">
        <v>54</v>
      </c>
      <c r="D8" s="8" t="s">
        <v>55</v>
      </c>
      <c r="E8" s="8" t="s">
        <v>56</v>
      </c>
      <c r="F8" s="8" t="s">
        <v>57</v>
      </c>
      <c r="G8" s="7" t="s">
        <v>58</v>
      </c>
      <c r="H8" s="7" t="s">
        <v>59</v>
      </c>
      <c r="I8" s="7" t="s">
        <v>26</v>
      </c>
      <c r="J8" s="7">
        <v>1</v>
      </c>
      <c r="K8" s="9">
        <v>1.2</v>
      </c>
      <c r="L8" s="10">
        <f t="shared" si="0"/>
        <v>1.2</v>
      </c>
      <c r="M8" s="6" t="s">
        <v>60</v>
      </c>
      <c r="N8" s="6" t="s">
        <v>61</v>
      </c>
      <c r="O8" s="6" t="s">
        <v>40</v>
      </c>
      <c r="P8" s="8" t="s">
        <v>62</v>
      </c>
      <c r="Q8" s="8" t="s">
        <v>63</v>
      </c>
    </row>
    <row r="9" spans="1:17" ht="25.95" customHeight="1" x14ac:dyDescent="0.3">
      <c r="A9" s="2">
        <v>5</v>
      </c>
      <c r="B9" s="3" t="s">
        <v>64</v>
      </c>
      <c r="C9" s="2" t="s">
        <v>65</v>
      </c>
      <c r="D9" s="3" t="s">
        <v>66</v>
      </c>
      <c r="E9" s="3" t="s">
        <v>67</v>
      </c>
      <c r="F9" s="3" t="s">
        <v>68</v>
      </c>
      <c r="G9" s="2" t="s">
        <v>69</v>
      </c>
      <c r="H9" s="2" t="s">
        <v>25</v>
      </c>
      <c r="I9" s="2" t="s">
        <v>26</v>
      </c>
      <c r="J9" s="2">
        <v>1</v>
      </c>
      <c r="K9" s="4">
        <v>7.84</v>
      </c>
      <c r="L9" s="5">
        <f t="shared" si="0"/>
        <v>7.84</v>
      </c>
      <c r="M9" s="6" t="s">
        <v>70</v>
      </c>
      <c r="N9" s="6" t="s">
        <v>71</v>
      </c>
      <c r="O9" s="6" t="s">
        <v>72</v>
      </c>
      <c r="P9" s="3" t="s">
        <v>73</v>
      </c>
      <c r="Q9" s="3" t="s">
        <v>74</v>
      </c>
    </row>
    <row r="10" spans="1:17" ht="25.95" customHeight="1" x14ac:dyDescent="0.3">
      <c r="A10" s="7">
        <v>6</v>
      </c>
      <c r="B10" s="8" t="s">
        <v>75</v>
      </c>
      <c r="C10" s="7" t="s">
        <v>76</v>
      </c>
      <c r="D10" s="8" t="s">
        <v>77</v>
      </c>
      <c r="E10" s="8" t="s">
        <v>78</v>
      </c>
      <c r="F10" s="8" t="s">
        <v>79</v>
      </c>
      <c r="G10" s="7" t="s">
        <v>80</v>
      </c>
      <c r="H10" s="7" t="s">
        <v>48</v>
      </c>
      <c r="I10" s="7" t="s">
        <v>26</v>
      </c>
      <c r="J10" s="7">
        <v>1</v>
      </c>
      <c r="K10" s="9">
        <v>6.39</v>
      </c>
      <c r="L10" s="10">
        <f t="shared" si="0"/>
        <v>6.39</v>
      </c>
      <c r="M10" s="6" t="s">
        <v>81</v>
      </c>
      <c r="N10" s="6" t="s">
        <v>82</v>
      </c>
      <c r="O10" s="6" t="s">
        <v>40</v>
      </c>
      <c r="P10" s="8" t="s">
        <v>83</v>
      </c>
      <c r="Q10" s="8" t="s">
        <v>84</v>
      </c>
    </row>
    <row r="11" spans="1:17" ht="25.95" customHeight="1" x14ac:dyDescent="0.3">
      <c r="A11" s="2">
        <v>7</v>
      </c>
      <c r="B11" s="3" t="s">
        <v>85</v>
      </c>
      <c r="C11" s="2" t="s">
        <v>86</v>
      </c>
      <c r="D11" s="3" t="s">
        <v>87</v>
      </c>
      <c r="E11" s="3" t="s">
        <v>88</v>
      </c>
      <c r="F11" s="3" t="s">
        <v>36</v>
      </c>
      <c r="G11" s="2" t="s">
        <v>89</v>
      </c>
      <c r="H11" s="2" t="s">
        <v>48</v>
      </c>
      <c r="I11" s="2" t="s">
        <v>26</v>
      </c>
      <c r="J11" s="2">
        <v>2</v>
      </c>
      <c r="K11" s="4">
        <v>3.02</v>
      </c>
      <c r="L11" s="5">
        <f t="shared" si="0"/>
        <v>6.04</v>
      </c>
      <c r="M11" s="6" t="s">
        <v>90</v>
      </c>
      <c r="N11" s="6" t="s">
        <v>91</v>
      </c>
      <c r="O11" s="6" t="s">
        <v>72</v>
      </c>
      <c r="P11" s="3" t="s">
        <v>92</v>
      </c>
      <c r="Q11" s="3" t="s">
        <v>93</v>
      </c>
    </row>
    <row r="12" spans="1:17" ht="25.95" customHeight="1" x14ac:dyDescent="0.3">
      <c r="A12" s="7">
        <v>8</v>
      </c>
      <c r="B12" s="8" t="s">
        <v>94</v>
      </c>
      <c r="C12" s="7" t="s">
        <v>95</v>
      </c>
      <c r="D12" s="8" t="s">
        <v>96</v>
      </c>
      <c r="E12" s="8" t="s">
        <v>35</v>
      </c>
      <c r="F12" s="8" t="s">
        <v>36</v>
      </c>
      <c r="G12" s="7" t="s">
        <v>37</v>
      </c>
      <c r="H12" s="7" t="s">
        <v>25</v>
      </c>
      <c r="I12" s="7" t="s">
        <v>26</v>
      </c>
      <c r="J12" s="7">
        <v>3</v>
      </c>
      <c r="K12" s="9">
        <v>3.19</v>
      </c>
      <c r="L12" s="10">
        <f t="shared" si="0"/>
        <v>9.57</v>
      </c>
      <c r="M12" s="6" t="s">
        <v>38</v>
      </c>
      <c r="N12" s="6" t="s">
        <v>39</v>
      </c>
      <c r="O12" s="6" t="s">
        <v>40</v>
      </c>
      <c r="P12" s="8" t="s">
        <v>41</v>
      </c>
      <c r="Q12" s="8" t="s">
        <v>97</v>
      </c>
    </row>
    <row r="13" spans="1:17" ht="25.95" customHeight="1" x14ac:dyDescent="0.3">
      <c r="A13" s="2">
        <v>9</v>
      </c>
      <c r="B13" s="3" t="s">
        <v>98</v>
      </c>
      <c r="C13" s="2" t="s">
        <v>99</v>
      </c>
      <c r="D13" s="3" t="s">
        <v>100</v>
      </c>
      <c r="E13" s="3" t="s">
        <v>101</v>
      </c>
      <c r="F13" s="3" t="s">
        <v>36</v>
      </c>
      <c r="G13" s="2" t="s">
        <v>102</v>
      </c>
      <c r="H13" s="2" t="s">
        <v>48</v>
      </c>
      <c r="I13" s="2" t="s">
        <v>26</v>
      </c>
      <c r="J13" s="2">
        <v>1</v>
      </c>
      <c r="K13" s="4">
        <v>1.33</v>
      </c>
      <c r="L13" s="5">
        <f t="shared" si="0"/>
        <v>1.33</v>
      </c>
      <c r="M13" s="6" t="s">
        <v>103</v>
      </c>
      <c r="N13" s="6" t="s">
        <v>104</v>
      </c>
      <c r="O13" s="6" t="s">
        <v>29</v>
      </c>
      <c r="P13" s="3" t="s">
        <v>105</v>
      </c>
      <c r="Q13" s="3" t="s">
        <v>106</v>
      </c>
    </row>
    <row r="14" spans="1:17" ht="25.95" customHeight="1" x14ac:dyDescent="0.3">
      <c r="A14" s="7">
        <v>10</v>
      </c>
      <c r="B14" s="8" t="s">
        <v>107</v>
      </c>
      <c r="C14" s="7" t="s">
        <v>108</v>
      </c>
      <c r="D14" s="8" t="s">
        <v>109</v>
      </c>
      <c r="E14" s="8" t="s">
        <v>110</v>
      </c>
      <c r="F14" s="8" t="s">
        <v>111</v>
      </c>
      <c r="G14" s="7" t="s">
        <v>112</v>
      </c>
      <c r="H14" s="7" t="s">
        <v>113</v>
      </c>
      <c r="I14" s="7" t="s">
        <v>26</v>
      </c>
      <c r="J14" s="7">
        <v>1</v>
      </c>
      <c r="K14" s="9">
        <v>37.4</v>
      </c>
      <c r="L14" s="10">
        <f t="shared" si="0"/>
        <v>37.4</v>
      </c>
      <c r="M14" s="6" t="s">
        <v>114</v>
      </c>
      <c r="N14" s="6" t="s">
        <v>115</v>
      </c>
      <c r="O14" s="11" t="s">
        <v>116</v>
      </c>
      <c r="P14" s="8" t="s">
        <v>117</v>
      </c>
      <c r="Q14" s="8" t="s">
        <v>118</v>
      </c>
    </row>
    <row r="15" spans="1:17" ht="25.95" customHeight="1" x14ac:dyDescent="0.3">
      <c r="A15" s="2">
        <v>11</v>
      </c>
      <c r="B15" s="3" t="s">
        <v>119</v>
      </c>
      <c r="C15" s="2" t="s">
        <v>120</v>
      </c>
      <c r="D15" s="3" t="s">
        <v>121</v>
      </c>
      <c r="E15" s="3" t="s">
        <v>122</v>
      </c>
      <c r="F15" s="3" t="s">
        <v>123</v>
      </c>
      <c r="G15" s="2" t="s">
        <v>124</v>
      </c>
      <c r="H15" s="2" t="s">
        <v>48</v>
      </c>
      <c r="I15" s="2" t="s">
        <v>26</v>
      </c>
      <c r="J15" s="2">
        <v>1</v>
      </c>
      <c r="K15" s="4">
        <v>3.52</v>
      </c>
      <c r="L15" s="5">
        <f t="shared" si="0"/>
        <v>3.52</v>
      </c>
      <c r="M15" s="6" t="s">
        <v>125</v>
      </c>
      <c r="N15" s="6" t="s">
        <v>126</v>
      </c>
      <c r="O15" s="6" t="s">
        <v>72</v>
      </c>
      <c r="P15" s="3" t="s">
        <v>127</v>
      </c>
      <c r="Q15" s="3" t="s">
        <v>128</v>
      </c>
    </row>
    <row r="16" spans="1:17" ht="25.95" customHeight="1" x14ac:dyDescent="0.3">
      <c r="A16" s="7">
        <v>12</v>
      </c>
      <c r="B16" s="8" t="s">
        <v>129</v>
      </c>
      <c r="C16" s="7" t="s">
        <v>130</v>
      </c>
      <c r="D16" s="8" t="s">
        <v>131</v>
      </c>
      <c r="E16" s="8" t="s">
        <v>132</v>
      </c>
      <c r="F16" s="8" t="s">
        <v>68</v>
      </c>
      <c r="G16" s="7" t="s">
        <v>133</v>
      </c>
      <c r="H16" s="7" t="s">
        <v>48</v>
      </c>
      <c r="I16" s="7" t="s">
        <v>26</v>
      </c>
      <c r="J16" s="7">
        <v>3</v>
      </c>
      <c r="K16" s="9">
        <v>1.4</v>
      </c>
      <c r="L16" s="10">
        <f t="shared" si="0"/>
        <v>4.1999999999999993</v>
      </c>
      <c r="M16" s="6" t="s">
        <v>134</v>
      </c>
      <c r="N16" s="6" t="s">
        <v>135</v>
      </c>
      <c r="O16" s="6" t="s">
        <v>40</v>
      </c>
      <c r="P16" s="8" t="s">
        <v>136</v>
      </c>
      <c r="Q16" s="8" t="s">
        <v>137</v>
      </c>
    </row>
    <row r="17" spans="1:17" ht="25.95" customHeight="1" x14ac:dyDescent="0.3">
      <c r="A17" s="2">
        <v>13</v>
      </c>
      <c r="B17" s="3" t="s">
        <v>138</v>
      </c>
      <c r="C17" s="2" t="s">
        <v>139</v>
      </c>
      <c r="D17" s="3" t="s">
        <v>140</v>
      </c>
      <c r="E17" s="3" t="s">
        <v>141</v>
      </c>
      <c r="F17" s="3" t="s">
        <v>36</v>
      </c>
      <c r="G17" s="2" t="s">
        <v>142</v>
      </c>
      <c r="H17" s="2" t="s">
        <v>113</v>
      </c>
      <c r="I17" s="2" t="s">
        <v>26</v>
      </c>
      <c r="J17" s="2">
        <v>1</v>
      </c>
      <c r="K17" s="4">
        <v>3.17</v>
      </c>
      <c r="L17" s="5">
        <f t="shared" si="0"/>
        <v>3.17</v>
      </c>
      <c r="M17" s="6" t="s">
        <v>143</v>
      </c>
      <c r="N17" s="6" t="s">
        <v>144</v>
      </c>
      <c r="O17" s="6" t="s">
        <v>40</v>
      </c>
      <c r="P17" s="3" t="s">
        <v>145</v>
      </c>
      <c r="Q17" s="3" t="s">
        <v>146</v>
      </c>
    </row>
    <row r="18" spans="1:17" ht="25.95" customHeight="1" x14ac:dyDescent="0.3">
      <c r="A18" s="21" t="s">
        <v>147</v>
      </c>
      <c r="B18" s="20"/>
      <c r="C18" s="20"/>
      <c r="D18" s="20"/>
      <c r="E18" s="20"/>
      <c r="F18" s="20"/>
      <c r="G18" s="20"/>
      <c r="H18" s="20"/>
      <c r="I18" s="20"/>
      <c r="J18" s="12">
        <f>SUM(J5:J17)</f>
        <v>19</v>
      </c>
      <c r="K18" s="13"/>
      <c r="L18" s="14">
        <f>SUM(L5:L17)</f>
        <v>117.06000000000002</v>
      </c>
      <c r="M18" s="13"/>
      <c r="N18" s="13"/>
      <c r="O18" s="13"/>
      <c r="P18" s="13"/>
      <c r="Q18" s="13"/>
    </row>
    <row r="20" spans="1:17" x14ac:dyDescent="0.3">
      <c r="A20" s="15" t="s">
        <v>148</v>
      </c>
    </row>
    <row r="21" spans="1:17" x14ac:dyDescent="0.3">
      <c r="A21" s="16" t="s">
        <v>149</v>
      </c>
    </row>
    <row r="22" spans="1:17" x14ac:dyDescent="0.3">
      <c r="A22" s="16" t="s">
        <v>150</v>
      </c>
    </row>
    <row r="23" spans="1:17" x14ac:dyDescent="0.3">
      <c r="A23" s="16" t="s">
        <v>151</v>
      </c>
    </row>
    <row r="24" spans="1:17" x14ac:dyDescent="0.3">
      <c r="A24" s="16" t="s">
        <v>152</v>
      </c>
    </row>
    <row r="25" spans="1:17" x14ac:dyDescent="0.3">
      <c r="A25" s="16" t="s">
        <v>153</v>
      </c>
    </row>
    <row r="26" spans="1:17" x14ac:dyDescent="0.3">
      <c r="A26" s="16" t="s">
        <v>154</v>
      </c>
    </row>
  </sheetData>
  <mergeCells count="3">
    <mergeCell ref="A2:Q2"/>
    <mergeCell ref="A18:I18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4" x14ac:dyDescent="0.3"/>
  <cols>
    <col min="1" max="1" width="22" customWidth="1"/>
    <col min="2" max="4" width="24" customWidth="1"/>
    <col min="5" max="5" width="28" customWidth="1"/>
    <col min="6" max="6" width="48" customWidth="1"/>
    <col min="7" max="7" width="35" customWidth="1"/>
  </cols>
  <sheetData>
    <row r="1" spans="1:7" ht="21" x14ac:dyDescent="0.3">
      <c r="A1" s="22" t="s">
        <v>155</v>
      </c>
      <c r="B1" s="20"/>
      <c r="C1" s="20"/>
      <c r="D1" s="20"/>
      <c r="E1" s="20"/>
      <c r="F1" s="20"/>
      <c r="G1" s="20"/>
    </row>
    <row r="3" spans="1:7" ht="25.95" customHeight="1" x14ac:dyDescent="0.3">
      <c r="A3" s="17" t="s">
        <v>3</v>
      </c>
      <c r="B3" s="17" t="s">
        <v>156</v>
      </c>
      <c r="C3" s="17" t="s">
        <v>157</v>
      </c>
      <c r="D3" s="17" t="s">
        <v>158</v>
      </c>
      <c r="E3" s="17" t="s">
        <v>159</v>
      </c>
      <c r="F3" s="17" t="s">
        <v>160</v>
      </c>
      <c r="G3" s="17" t="s">
        <v>161</v>
      </c>
    </row>
    <row r="4" spans="1:7" ht="36" customHeight="1" x14ac:dyDescent="0.3">
      <c r="A4" s="8" t="s">
        <v>162</v>
      </c>
      <c r="B4" s="7" t="s">
        <v>22</v>
      </c>
      <c r="C4" s="7" t="s">
        <v>163</v>
      </c>
      <c r="D4" s="18" t="s">
        <v>22</v>
      </c>
      <c r="E4" s="7" t="s">
        <v>164</v>
      </c>
      <c r="F4" s="8" t="s">
        <v>165</v>
      </c>
      <c r="G4" s="8" t="s">
        <v>166</v>
      </c>
    </row>
    <row r="5" spans="1:7" ht="36" customHeight="1" x14ac:dyDescent="0.3">
      <c r="A5" s="3" t="s">
        <v>167</v>
      </c>
      <c r="B5" s="2" t="s">
        <v>35</v>
      </c>
      <c r="C5" s="2" t="s">
        <v>168</v>
      </c>
      <c r="D5" s="18" t="s">
        <v>35</v>
      </c>
      <c r="E5" s="2" t="s">
        <v>169</v>
      </c>
      <c r="F5" s="3" t="s">
        <v>170</v>
      </c>
      <c r="G5" s="3" t="s">
        <v>171</v>
      </c>
    </row>
    <row r="6" spans="1:7" ht="36" customHeight="1" x14ac:dyDescent="0.3">
      <c r="A6" s="8" t="s">
        <v>43</v>
      </c>
      <c r="B6" s="7" t="s">
        <v>46</v>
      </c>
      <c r="C6" s="7" t="s">
        <v>172</v>
      </c>
      <c r="D6" s="18" t="s">
        <v>46</v>
      </c>
      <c r="E6" s="7" t="s">
        <v>173</v>
      </c>
      <c r="F6" s="8" t="s">
        <v>174</v>
      </c>
      <c r="G6" s="8" t="s">
        <v>175</v>
      </c>
    </row>
    <row r="7" spans="1:7" ht="36" customHeight="1" x14ac:dyDescent="0.3">
      <c r="A7" s="3" t="s">
        <v>64</v>
      </c>
      <c r="B7" s="2" t="s">
        <v>67</v>
      </c>
      <c r="C7" s="2" t="s">
        <v>176</v>
      </c>
      <c r="D7" s="18" t="s">
        <v>67</v>
      </c>
      <c r="E7" s="2" t="s">
        <v>177</v>
      </c>
      <c r="F7" s="3" t="s">
        <v>178</v>
      </c>
      <c r="G7" s="3" t="s">
        <v>179</v>
      </c>
    </row>
    <row r="8" spans="1:7" ht="36" customHeight="1" x14ac:dyDescent="0.3">
      <c r="A8" s="8" t="s">
        <v>75</v>
      </c>
      <c r="B8" s="7" t="s">
        <v>78</v>
      </c>
      <c r="C8" s="7" t="s">
        <v>180</v>
      </c>
      <c r="D8" s="18" t="s">
        <v>78</v>
      </c>
      <c r="E8" s="7" t="s">
        <v>181</v>
      </c>
      <c r="F8" s="8" t="s">
        <v>182</v>
      </c>
      <c r="G8" s="8" t="s">
        <v>183</v>
      </c>
    </row>
    <row r="9" spans="1:7" ht="36" customHeight="1" x14ac:dyDescent="0.3">
      <c r="A9" s="3" t="s">
        <v>94</v>
      </c>
      <c r="B9" s="2" t="s">
        <v>184</v>
      </c>
      <c r="C9" s="2" t="s">
        <v>185</v>
      </c>
      <c r="D9" s="18" t="s">
        <v>35</v>
      </c>
      <c r="E9" s="2" t="s">
        <v>186</v>
      </c>
      <c r="F9" s="3" t="s">
        <v>187</v>
      </c>
      <c r="G9" s="3" t="s">
        <v>188</v>
      </c>
    </row>
    <row r="10" spans="1:7" ht="36" customHeight="1" x14ac:dyDescent="0.3">
      <c r="A10" s="8" t="s">
        <v>189</v>
      </c>
      <c r="B10" s="7" t="s">
        <v>132</v>
      </c>
      <c r="C10" s="7" t="s">
        <v>190</v>
      </c>
      <c r="D10" s="18" t="s">
        <v>132</v>
      </c>
      <c r="E10" s="7" t="s">
        <v>191</v>
      </c>
      <c r="F10" s="8" t="s">
        <v>192</v>
      </c>
      <c r="G10" s="8" t="s">
        <v>193</v>
      </c>
    </row>
    <row r="11" spans="1:7" ht="36" customHeight="1" x14ac:dyDescent="0.3">
      <c r="A11" s="3" t="s">
        <v>138</v>
      </c>
      <c r="B11" s="2" t="s">
        <v>141</v>
      </c>
      <c r="C11" s="2" t="s">
        <v>194</v>
      </c>
      <c r="D11" s="18" t="s">
        <v>141</v>
      </c>
      <c r="E11" s="2" t="s">
        <v>195</v>
      </c>
      <c r="F11" s="3" t="s">
        <v>196</v>
      </c>
      <c r="G11" s="3" t="s">
        <v>197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4.4" x14ac:dyDescent="0.3"/>
  <cols>
    <col min="1" max="1" width="30" customWidth="1"/>
    <col min="2" max="2" width="24" customWidth="1"/>
    <col min="3" max="3" width="26" customWidth="1"/>
    <col min="4" max="4" width="24" customWidth="1"/>
    <col min="5" max="5" width="35" customWidth="1"/>
    <col min="6" max="6" width="45" customWidth="1"/>
  </cols>
  <sheetData>
    <row r="1" spans="1:6" ht="21" x14ac:dyDescent="0.3">
      <c r="A1" s="22" t="s">
        <v>198</v>
      </c>
      <c r="B1" s="20"/>
      <c r="C1" s="20"/>
      <c r="D1" s="20"/>
      <c r="E1" s="20"/>
      <c r="F1" s="20"/>
    </row>
    <row r="3" spans="1:6" ht="25.95" customHeight="1" x14ac:dyDescent="0.3">
      <c r="A3" s="1" t="s">
        <v>199</v>
      </c>
      <c r="B3" s="1" t="s">
        <v>200</v>
      </c>
      <c r="C3" s="1" t="s">
        <v>201</v>
      </c>
      <c r="D3" s="1" t="s">
        <v>202</v>
      </c>
      <c r="E3" s="1" t="s">
        <v>203</v>
      </c>
      <c r="F3" s="1" t="s">
        <v>204</v>
      </c>
    </row>
    <row r="4" spans="1:6" ht="24" customHeight="1" x14ac:dyDescent="0.3">
      <c r="A4" s="8" t="s">
        <v>205</v>
      </c>
      <c r="B4" s="7" t="s">
        <v>206</v>
      </c>
      <c r="C4" s="7" t="s">
        <v>207</v>
      </c>
      <c r="D4" s="7" t="s">
        <v>208</v>
      </c>
      <c r="E4" s="8" t="s">
        <v>209</v>
      </c>
      <c r="F4" s="8" t="s">
        <v>210</v>
      </c>
    </row>
    <row r="5" spans="1:6" ht="24" customHeight="1" x14ac:dyDescent="0.3">
      <c r="A5" s="3" t="s">
        <v>211</v>
      </c>
      <c r="B5" s="2" t="s">
        <v>212</v>
      </c>
      <c r="C5" s="2" t="s">
        <v>207</v>
      </c>
      <c r="D5" s="2" t="s">
        <v>208</v>
      </c>
      <c r="E5" s="3" t="s">
        <v>213</v>
      </c>
      <c r="F5" s="3" t="s">
        <v>214</v>
      </c>
    </row>
    <row r="6" spans="1:6" ht="24" customHeight="1" x14ac:dyDescent="0.3">
      <c r="A6" s="8" t="s">
        <v>215</v>
      </c>
      <c r="B6" s="7" t="s">
        <v>216</v>
      </c>
      <c r="C6" s="7" t="s">
        <v>217</v>
      </c>
      <c r="D6" s="7" t="s">
        <v>218</v>
      </c>
      <c r="E6" s="8" t="s">
        <v>219</v>
      </c>
      <c r="F6" s="8" t="s">
        <v>220</v>
      </c>
    </row>
    <row r="7" spans="1:6" ht="24" customHeight="1" x14ac:dyDescent="0.3">
      <c r="A7" s="3" t="s">
        <v>221</v>
      </c>
      <c r="B7" s="2" t="s">
        <v>222</v>
      </c>
      <c r="C7" s="2" t="s">
        <v>223</v>
      </c>
      <c r="D7" s="2" t="s">
        <v>208</v>
      </c>
      <c r="E7" s="3" t="s">
        <v>224</v>
      </c>
      <c r="F7" s="3" t="s">
        <v>225</v>
      </c>
    </row>
    <row r="8" spans="1:6" ht="24" customHeight="1" x14ac:dyDescent="0.3">
      <c r="A8" s="8" t="s">
        <v>226</v>
      </c>
      <c r="B8" s="7" t="s">
        <v>227</v>
      </c>
      <c r="C8" s="7" t="s">
        <v>228</v>
      </c>
      <c r="D8" s="7" t="s">
        <v>229</v>
      </c>
      <c r="E8" s="8" t="s">
        <v>230</v>
      </c>
      <c r="F8" s="8" t="s">
        <v>231</v>
      </c>
    </row>
    <row r="9" spans="1:6" ht="24" customHeight="1" x14ac:dyDescent="0.3">
      <c r="A9" s="3" t="s">
        <v>232</v>
      </c>
      <c r="B9" s="2" t="s">
        <v>227</v>
      </c>
      <c r="C9" s="2" t="s">
        <v>233</v>
      </c>
      <c r="D9" s="2" t="s">
        <v>234</v>
      </c>
      <c r="E9" s="3" t="s">
        <v>235</v>
      </c>
      <c r="F9" s="3" t="s">
        <v>236</v>
      </c>
    </row>
    <row r="10" spans="1:6" ht="24" customHeight="1" x14ac:dyDescent="0.3">
      <c r="A10" s="8" t="s">
        <v>237</v>
      </c>
      <c r="B10" s="7" t="s">
        <v>212</v>
      </c>
      <c r="C10" s="7" t="s">
        <v>238</v>
      </c>
      <c r="D10" s="7" t="s">
        <v>239</v>
      </c>
      <c r="E10" s="8" t="s">
        <v>240</v>
      </c>
      <c r="F10" s="8" t="s">
        <v>241</v>
      </c>
    </row>
    <row r="11" spans="1:6" ht="24" customHeight="1" x14ac:dyDescent="0.3">
      <c r="A11" s="3" t="s">
        <v>242</v>
      </c>
      <c r="B11" s="2" t="s">
        <v>227</v>
      </c>
      <c r="C11" s="2" t="s">
        <v>243</v>
      </c>
      <c r="D11" s="2" t="s">
        <v>218</v>
      </c>
      <c r="E11" s="3" t="s">
        <v>244</v>
      </c>
      <c r="F11" s="3" t="s">
        <v>245</v>
      </c>
    </row>
    <row r="12" spans="1:6" ht="24" customHeight="1" x14ac:dyDescent="0.3">
      <c r="A12" s="8" t="s">
        <v>246</v>
      </c>
      <c r="B12" s="7" t="s">
        <v>227</v>
      </c>
      <c r="C12" s="7" t="s">
        <v>233</v>
      </c>
      <c r="D12" s="7" t="s">
        <v>218</v>
      </c>
      <c r="E12" s="8" t="s">
        <v>247</v>
      </c>
      <c r="F12" s="8" t="s">
        <v>248</v>
      </c>
    </row>
    <row r="13" spans="1:6" ht="24" customHeight="1" x14ac:dyDescent="0.3">
      <c r="A13" s="3" t="s">
        <v>249</v>
      </c>
      <c r="B13" s="2" t="s">
        <v>227</v>
      </c>
      <c r="C13" s="2" t="s">
        <v>233</v>
      </c>
      <c r="D13" s="2" t="s">
        <v>250</v>
      </c>
      <c r="E13" s="3" t="s">
        <v>251</v>
      </c>
      <c r="F13" s="3" t="s">
        <v>252</v>
      </c>
    </row>
    <row r="14" spans="1:6" ht="24" customHeight="1" x14ac:dyDescent="0.3">
      <c r="A14" s="8" t="s">
        <v>253</v>
      </c>
      <c r="B14" s="7" t="s">
        <v>227</v>
      </c>
      <c r="C14" s="7" t="s">
        <v>233</v>
      </c>
      <c r="D14" s="7" t="s">
        <v>254</v>
      </c>
      <c r="E14" s="8" t="s">
        <v>255</v>
      </c>
      <c r="F14" s="8" t="s">
        <v>256</v>
      </c>
    </row>
    <row r="15" spans="1:6" ht="24" customHeight="1" x14ac:dyDescent="0.3">
      <c r="A15" s="3" t="s">
        <v>257</v>
      </c>
      <c r="B15" s="2" t="s">
        <v>227</v>
      </c>
      <c r="C15" s="2" t="s">
        <v>233</v>
      </c>
      <c r="D15" s="2" t="s">
        <v>254</v>
      </c>
      <c r="E15" s="3" t="s">
        <v>258</v>
      </c>
      <c r="F15" s="3" t="s">
        <v>259</v>
      </c>
    </row>
    <row r="16" spans="1:6" ht="24" customHeight="1" x14ac:dyDescent="0.3">
      <c r="A16" s="8" t="s">
        <v>260</v>
      </c>
      <c r="B16" s="7" t="s">
        <v>227</v>
      </c>
      <c r="C16" s="7" t="s">
        <v>261</v>
      </c>
      <c r="D16" s="7" t="s">
        <v>262</v>
      </c>
      <c r="E16" s="8" t="s">
        <v>263</v>
      </c>
      <c r="F16" s="8" t="s">
        <v>264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BOM &amp; Stock</vt:lpstr>
      <vt:lpstr>Trade Study &amp; Rationale</vt:lpstr>
      <vt:lpstr>Interface &amp;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Costa</cp:lastModifiedBy>
  <dcterms:created xsi:type="dcterms:W3CDTF">2026-10-11T18:00:00Z</dcterms:created>
  <dcterms:modified xsi:type="dcterms:W3CDTF">2026-10-11T18:01:45Z</dcterms:modified>
</cp:coreProperties>
</file>